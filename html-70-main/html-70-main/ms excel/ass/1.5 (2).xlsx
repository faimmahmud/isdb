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DPF PC-07\Desktop\isdb\cf\ms excel\ass\"/>
    </mc:Choice>
  </mc:AlternateContent>
  <xr:revisionPtr revIDLastSave="0" documentId="13_ncr:1_{1AC3A2EF-5572-4998-952E-97598645AC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dget" sheetId="1" r:id="rId1"/>
    <sheet name="Chart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" l="1"/>
  <c r="B8" i="2" s="1"/>
  <c r="F7" i="2"/>
  <c r="G22" i="1"/>
  <c r="E7" i="2"/>
  <c r="I20" i="1"/>
  <c r="B7" i="2"/>
  <c r="F6" i="2"/>
  <c r="F22" i="1"/>
  <c r="E6" i="2"/>
  <c r="I19" i="1"/>
  <c r="B6" i="2"/>
  <c r="F5" i="2"/>
  <c r="E22" i="1"/>
  <c r="E5" i="2"/>
  <c r="I18" i="1"/>
  <c r="B5" i="2"/>
  <c r="F4" i="2"/>
  <c r="D22" i="1"/>
  <c r="E4" i="2"/>
  <c r="I17" i="1"/>
  <c r="B4" i="2"/>
  <c r="F3" i="2"/>
  <c r="C22" i="1"/>
  <c r="E3" i="2"/>
  <c r="I16" i="1"/>
  <c r="B3" i="2"/>
  <c r="F2" i="2"/>
  <c r="B22" i="1"/>
  <c r="E2" i="2"/>
  <c r="I15" i="1"/>
  <c r="B2" i="2"/>
  <c r="H21" i="1"/>
  <c r="H20" i="1"/>
  <c r="H19" i="1"/>
  <c r="H18" i="1"/>
  <c r="H17" i="1"/>
  <c r="H16" i="1"/>
  <c r="H15" i="1"/>
</calcChain>
</file>

<file path=xl/sharedStrings.xml><?xml version="1.0" encoding="utf-8"?>
<sst xmlns="http://schemas.openxmlformats.org/spreadsheetml/2006/main" count="31" uniqueCount="23">
  <si>
    <t>Monthly Budget</t>
  </si>
  <si>
    <t>January 2022 – June 2022</t>
  </si>
  <si>
    <t>House Payment</t>
  </si>
  <si>
    <t>Gasoline</t>
  </si>
  <si>
    <t>Groceries</t>
  </si>
  <si>
    <t>Utilities</t>
  </si>
  <si>
    <t>Insurance</t>
  </si>
  <si>
    <t>Entertainment</t>
  </si>
  <si>
    <t>Other</t>
  </si>
  <si>
    <t>Monthly Expenses Total</t>
  </si>
  <si>
    <t>Income</t>
  </si>
  <si>
    <t>Category</t>
  </si>
  <si>
    <t>Total (Jan-Jun)</t>
  </si>
  <si>
    <t>Month</t>
  </si>
  <si>
    <t>Expenses (Monthly Total)</t>
  </si>
  <si>
    <t>January</t>
  </si>
  <si>
    <t>February</t>
  </si>
  <si>
    <t>March</t>
  </si>
  <si>
    <t>April</t>
  </si>
  <si>
    <t>May</t>
  </si>
  <si>
    <t>June</t>
  </si>
  <si>
    <t>Chart Date:</t>
  </si>
  <si>
    <t>December 12,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</si>
</sst>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7">
    <font>
      <sz val="11"/>
      <color theme="1"/>
      <name val="Calibri"/>
      <family val="2"/>
      <scheme val="minor"/>
    </font>
    <font>
      <b/>
      <sz val="11"/>
      <name val="BakerSignet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BakerSignet"/>
    </font>
    <font>
      <b/>
      <sz val="10"/>
      <color theme="1"/>
      <name val="BakerSignet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64" fontId="0" fillId="4" borderId="9" xfId="0" applyNumberFormat="1" applyFill="1" applyBorder="1" applyAlignment="1">
      <alignment horizontal="center"/>
    </xf>
    <xf numFmtId="164" fontId="0" fillId="4" borderId="12" xfId="0" applyNumberFormat="1" applyFill="1" applyBorder="1" applyAlignment="1">
      <alignment horizontal="center"/>
    </xf>
    <xf numFmtId="0" fontId="3" fillId="6" borderId="0" xfId="0" applyFont="1" applyFill="1"/>
    <xf numFmtId="0" fontId="4" fillId="6" borderId="0" xfId="0" applyFont="1" applyFill="1"/>
    <xf numFmtId="0" fontId="2" fillId="4" borderId="13" xfId="0" applyFont="1" applyFill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2" xfId="0" applyBorder="1"/>
    <xf numFmtId="0" fontId="0" fillId="0" borderId="23" xfId="0" applyBorder="1"/>
    <xf numFmtId="0" fontId="0" fillId="7" borderId="16" xfId="0" applyFill="1" applyBorder="1"/>
    <xf numFmtId="0" fontId="0" fillId="7" borderId="19" xfId="0" applyFill="1" applyBorder="1"/>
    <xf numFmtId="0" fontId="0" fillId="7" borderId="21" xfId="0" applyFill="1" applyBorder="1"/>
    <xf numFmtId="0" fontId="5" fillId="8" borderId="2" xfId="0" applyFont="1" applyFill="1" applyBorder="1" applyAlignment="1">
      <alignment horizontal="center" vertical="center"/>
    </xf>
    <xf numFmtId="0" fontId="0" fillId="8" borderId="2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0" fillId="8" borderId="1" xfId="0" applyFont="1" applyFill="1" applyBorder="1"/>
    <xf numFmtId="0" fontId="1" fillId="9" borderId="1" xfId="0" applyFont="1" applyFill="1" applyBorder="1"/>
    <xf numFmtId="164" fontId="0" fillId="9" borderId="1" xfId="0" applyNumberFormat="1" applyFill="1" applyBorder="1"/>
    <xf numFmtId="0" fontId="0" fillId="9" borderId="1" xfId="0" applyFill="1" applyBorder="1"/>
    <xf numFmtId="0" fontId="0" fillId="9" borderId="3" xfId="0" applyFill="1" applyBorder="1"/>
    <xf numFmtId="164" fontId="0" fillId="9" borderId="3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Spending by Category (Jan–Jun 2022)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explosion val="3"/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CA-46F3-8F00-9BA5535A1934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CA-46F3-8F00-9BA5535A1934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ACA-46F3-8F00-9BA5535A1934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ACA-46F3-8F00-9BA5535A1934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ACA-46F3-8F00-9BA5535A1934}"/>
              </c:ext>
            </c:extLst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ACA-46F3-8F00-9BA5535A1934}"/>
              </c:ext>
            </c:extLst>
          </c:dPt>
          <c:dPt>
            <c:idx val="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ACA-46F3-8F00-9BA5535A19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Charts!$A$2:$A$8</c:f>
              <c:strCache>
                <c:ptCount val="7"/>
                <c:pt idx="0">
                  <c:v>House Payment</c:v>
                </c:pt>
                <c:pt idx="1">
                  <c:v>Gasoline</c:v>
                </c:pt>
                <c:pt idx="2">
                  <c:v>Groceries</c:v>
                </c:pt>
                <c:pt idx="3">
                  <c:v>Utilities</c:v>
                </c:pt>
                <c:pt idx="4">
                  <c:v>Insurance</c:v>
                </c:pt>
                <c:pt idx="5">
                  <c:v>Entertainment</c:v>
                </c:pt>
                <c:pt idx="6">
                  <c:v>Other</c:v>
                </c:pt>
              </c:strCache>
            </c:strRef>
          </c:cat>
          <c:val>
            <c:numRef>
              <c:f>Charts!$B$2:$B$8</c:f>
              <c:numCache>
                <c:formatCode>"$"#,##0.00_-</c:formatCode>
                <c:ptCount val="7"/>
                <c:pt idx="0">
                  <c:v>7200</c:v>
                </c:pt>
                <c:pt idx="1">
                  <c:v>362</c:v>
                </c:pt>
                <c:pt idx="2">
                  <c:v>1880</c:v>
                </c:pt>
                <c:pt idx="3">
                  <c:v>908</c:v>
                </c:pt>
                <c:pt idx="4">
                  <c:v>1200</c:v>
                </c:pt>
                <c:pt idx="5">
                  <c:v>595</c:v>
                </c:pt>
                <c:pt idx="6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6-1A45-A870-93D58EF7786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Income vs Expenses (Monthly)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Charts!$D$2:$D$7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Charts!$E$2:$E$7</c:f>
              <c:numCache>
                <c:formatCode>"$"#,##0.00_-</c:formatCode>
                <c:ptCount val="6"/>
                <c:pt idx="0">
                  <c:v>2075</c:v>
                </c:pt>
                <c:pt idx="1">
                  <c:v>2105</c:v>
                </c:pt>
                <c:pt idx="2">
                  <c:v>2100</c:v>
                </c:pt>
                <c:pt idx="3">
                  <c:v>2075</c:v>
                </c:pt>
                <c:pt idx="4">
                  <c:v>2142</c:v>
                </c:pt>
                <c:pt idx="5">
                  <c:v>2093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E-9B49-BE2D-E5F70A51B315}"/>
            </c:ext>
          </c:extLst>
        </c:ser>
        <c:ser>
          <c:idx val="1"/>
          <c:order val="1"/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Charts!$D$2:$D$7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Charts!$F$2:$F$7</c:f>
              <c:numCache>
                <c:formatCode>"$"#,##0.00_-</c:formatCode>
                <c:ptCount val="6"/>
                <c:pt idx="0">
                  <c:v>2000</c:v>
                </c:pt>
                <c:pt idx="1">
                  <c:v>2100</c:v>
                </c:pt>
                <c:pt idx="2">
                  <c:v>2700</c:v>
                </c:pt>
                <c:pt idx="3">
                  <c:v>1900</c:v>
                </c:pt>
                <c:pt idx="4">
                  <c:v>2500</c:v>
                </c:pt>
                <c:pt idx="5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2E-9B49-BE2D-E5F70A51B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333375</xdr:colOff>
      <xdr:row>19</xdr:row>
      <xdr:rowOff>180975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:I25"/>
  <sheetViews>
    <sheetView tabSelected="1" topLeftCell="A7" workbookViewId="0">
      <selection activeCell="K19" sqref="K19"/>
    </sheetView>
  </sheetViews>
  <sheetFormatPr defaultRowHeight="15"/>
  <cols>
    <col min="1" max="1" width="20" customWidth="1"/>
    <col min="2" max="7" width="12" customWidth="1"/>
    <col min="8" max="8" width="14" customWidth="1"/>
    <col min="9" max="9" width="12" customWidth="1"/>
  </cols>
  <sheetData>
    <row r="12" spans="1:9" ht="15.75" thickBot="1"/>
    <row r="13" spans="1:9" ht="24" thickTop="1">
      <c r="A13" s="29" t="s">
        <v>0</v>
      </c>
      <c r="B13" s="30"/>
      <c r="C13" s="30"/>
      <c r="D13" s="30"/>
      <c r="E13" s="30"/>
      <c r="F13" s="30"/>
      <c r="G13" s="30"/>
      <c r="H13" s="30"/>
      <c r="I13" s="30"/>
    </row>
    <row r="14" spans="1:9">
      <c r="A14" s="31" t="s">
        <v>1</v>
      </c>
      <c r="B14" s="32"/>
      <c r="C14" s="32"/>
      <c r="D14" s="32"/>
      <c r="E14" s="32"/>
      <c r="F14" s="32"/>
      <c r="G14" s="32"/>
      <c r="H14" s="32"/>
      <c r="I14" s="32"/>
    </row>
    <row r="15" spans="1:9">
      <c r="A15" s="33" t="s">
        <v>2</v>
      </c>
      <c r="B15" s="34">
        <v>1200</v>
      </c>
      <c r="C15" s="34">
        <v>1200</v>
      </c>
      <c r="D15" s="34">
        <v>1200</v>
      </c>
      <c r="E15" s="34">
        <v>1200</v>
      </c>
      <c r="F15" s="34">
        <v>1200</v>
      </c>
      <c r="G15" s="34">
        <v>1200</v>
      </c>
      <c r="H15" s="34">
        <f t="shared" ref="H15:H21" si="0">AVERAGE(B15:G15)</f>
        <v>1200</v>
      </c>
      <c r="I15" s="34">
        <f t="shared" ref="I15:I21" si="1">SUM(B15:G15)</f>
        <v>7200</v>
      </c>
    </row>
    <row r="16" spans="1:9">
      <c r="A16" s="33" t="s">
        <v>3</v>
      </c>
      <c r="B16" s="34">
        <v>50</v>
      </c>
      <c r="C16" s="34">
        <v>60</v>
      </c>
      <c r="D16" s="34">
        <v>55</v>
      </c>
      <c r="E16" s="34">
        <v>65</v>
      </c>
      <c r="F16" s="34">
        <v>62</v>
      </c>
      <c r="G16" s="34">
        <v>70</v>
      </c>
      <c r="H16" s="34">
        <f t="shared" si="0"/>
        <v>60.333333333333336</v>
      </c>
      <c r="I16" s="34">
        <f t="shared" si="1"/>
        <v>362</v>
      </c>
    </row>
    <row r="17" spans="1:9">
      <c r="A17" s="33" t="s">
        <v>4</v>
      </c>
      <c r="B17" s="34">
        <v>300</v>
      </c>
      <c r="C17" s="34">
        <v>320</v>
      </c>
      <c r="D17" s="34">
        <v>310</v>
      </c>
      <c r="E17" s="34">
        <v>305</v>
      </c>
      <c r="F17" s="34">
        <v>330</v>
      </c>
      <c r="G17" s="34">
        <v>315</v>
      </c>
      <c r="H17" s="34">
        <f t="shared" si="0"/>
        <v>313.33333333333331</v>
      </c>
      <c r="I17" s="34">
        <f t="shared" si="1"/>
        <v>1880</v>
      </c>
    </row>
    <row r="18" spans="1:9">
      <c r="A18" s="33" t="s">
        <v>5</v>
      </c>
      <c r="B18" s="34">
        <v>150</v>
      </c>
      <c r="C18" s="34">
        <v>145</v>
      </c>
      <c r="D18" s="34">
        <v>160</v>
      </c>
      <c r="E18" s="34">
        <v>155</v>
      </c>
      <c r="F18" s="34">
        <v>150</v>
      </c>
      <c r="G18" s="34">
        <v>148</v>
      </c>
      <c r="H18" s="34">
        <f t="shared" si="0"/>
        <v>151.33333333333334</v>
      </c>
      <c r="I18" s="34">
        <f t="shared" si="1"/>
        <v>908</v>
      </c>
    </row>
    <row r="19" spans="1:9">
      <c r="A19" s="33" t="s">
        <v>6</v>
      </c>
      <c r="B19" s="34">
        <v>200</v>
      </c>
      <c r="C19" s="34">
        <v>200</v>
      </c>
      <c r="D19" s="34">
        <v>200</v>
      </c>
      <c r="E19" s="34">
        <v>200</v>
      </c>
      <c r="F19" s="34">
        <v>200</v>
      </c>
      <c r="G19" s="34">
        <v>200</v>
      </c>
      <c r="H19" s="34">
        <f t="shared" si="0"/>
        <v>200</v>
      </c>
      <c r="I19" s="34">
        <f t="shared" si="1"/>
        <v>1200</v>
      </c>
    </row>
    <row r="20" spans="1:9">
      <c r="A20" s="33" t="s">
        <v>7</v>
      </c>
      <c r="B20" s="34">
        <v>100</v>
      </c>
      <c r="C20" s="34">
        <v>120</v>
      </c>
      <c r="D20" s="34">
        <v>90</v>
      </c>
      <c r="E20" s="34">
        <v>80</v>
      </c>
      <c r="F20" s="34">
        <v>110</v>
      </c>
      <c r="G20" s="34">
        <v>95</v>
      </c>
      <c r="H20" s="34">
        <f t="shared" si="0"/>
        <v>99.166666666666671</v>
      </c>
      <c r="I20" s="34">
        <f t="shared" si="1"/>
        <v>595</v>
      </c>
    </row>
    <row r="21" spans="1:9">
      <c r="A21" s="33" t="s">
        <v>8</v>
      </c>
      <c r="B21" s="34">
        <v>75</v>
      </c>
      <c r="C21" s="34">
        <v>60</v>
      </c>
      <c r="D21" s="34">
        <v>85</v>
      </c>
      <c r="E21" s="34">
        <v>70</v>
      </c>
      <c r="F21" s="34">
        <v>90</v>
      </c>
      <c r="G21" s="34">
        <v>65</v>
      </c>
      <c r="H21" s="34">
        <f t="shared" si="0"/>
        <v>74.166666666666671</v>
      </c>
      <c r="I21" s="34">
        <f t="shared" si="1"/>
        <v>445</v>
      </c>
    </row>
    <row r="22" spans="1:9">
      <c r="A22" s="35" t="s">
        <v>9</v>
      </c>
      <c r="B22" s="34">
        <f t="shared" ref="B22:G22" si="2">SUM(B15:B21)</f>
        <v>2075</v>
      </c>
      <c r="C22" s="34">
        <f t="shared" si="2"/>
        <v>2105</v>
      </c>
      <c r="D22" s="34">
        <f t="shared" si="2"/>
        <v>2100</v>
      </c>
      <c r="E22" s="34">
        <f t="shared" si="2"/>
        <v>2075</v>
      </c>
      <c r="F22" s="34">
        <f t="shared" si="2"/>
        <v>2142</v>
      </c>
      <c r="G22" s="34">
        <f t="shared" si="2"/>
        <v>2093</v>
      </c>
      <c r="H22" s="35"/>
      <c r="I22" s="35"/>
    </row>
    <row r="23" spans="1:9">
      <c r="A23" s="35"/>
      <c r="B23" s="35"/>
      <c r="C23" s="35"/>
      <c r="D23" s="35"/>
      <c r="E23" s="35"/>
      <c r="F23" s="35"/>
      <c r="G23" s="35"/>
      <c r="H23" s="35"/>
      <c r="I23" s="35"/>
    </row>
    <row r="24" spans="1:9" ht="15.75" thickBot="1">
      <c r="A24" s="36" t="s">
        <v>10</v>
      </c>
      <c r="B24" s="37">
        <v>2000</v>
      </c>
      <c r="C24" s="37">
        <v>2100</v>
      </c>
      <c r="D24" s="37">
        <v>2700</v>
      </c>
      <c r="E24" s="37">
        <v>1900</v>
      </c>
      <c r="F24" s="37">
        <v>2500</v>
      </c>
      <c r="G24" s="37">
        <v>2900</v>
      </c>
      <c r="H24" s="36"/>
      <c r="I24" s="36"/>
    </row>
    <row r="25" spans="1:9" ht="15.75" thickTop="1"/>
  </sheetData>
  <mergeCells count="2">
    <mergeCell ref="A13:I13"/>
    <mergeCell ref="A14:I14"/>
  </mergeCells>
  <pageMargins left="0.75" right="0.75" top="1" bottom="1" header="0.5" footer="0.5"/>
  <headerFooter>
    <oddHeader>&amp;CYour Name — Period X — FINAL PART 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workbookViewId="0">
      <selection activeCell="E14" sqref="E14"/>
    </sheetView>
  </sheetViews>
  <sheetFormatPr defaultRowHeight="15"/>
  <cols>
    <col min="1" max="1" width="13.85546875" bestFit="1" customWidth="1"/>
    <col min="2" max="2" width="17.42578125" bestFit="1" customWidth="1"/>
    <col min="5" max="5" width="22.42578125" bestFit="1" customWidth="1"/>
    <col min="6" max="6" width="9.85546875" bestFit="1" customWidth="1"/>
  </cols>
  <sheetData>
    <row r="1" spans="1:17">
      <c r="A1" s="8" t="s">
        <v>11</v>
      </c>
      <c r="B1" s="9" t="s">
        <v>12</v>
      </c>
      <c r="C1" s="2"/>
      <c r="D1" s="10" t="s">
        <v>13</v>
      </c>
      <c r="E1" s="11" t="s">
        <v>14</v>
      </c>
      <c r="F1" s="18" t="s">
        <v>10</v>
      </c>
      <c r="G1" s="26"/>
      <c r="H1" s="21"/>
      <c r="I1" s="21"/>
      <c r="J1" s="21"/>
      <c r="K1" s="21"/>
      <c r="L1" s="21"/>
      <c r="M1" s="21"/>
      <c r="N1" s="21"/>
      <c r="O1" s="21"/>
      <c r="P1" s="21"/>
      <c r="Q1" s="22"/>
    </row>
    <row r="2" spans="1:17">
      <c r="A2" s="12" t="s">
        <v>2</v>
      </c>
      <c r="B2" s="14">
        <f>Budget!I15</f>
        <v>7200</v>
      </c>
      <c r="C2" s="3"/>
      <c r="D2" s="6" t="s">
        <v>15</v>
      </c>
      <c r="E2" s="4">
        <f>Budget!B22</f>
        <v>2075</v>
      </c>
      <c r="F2" s="19">
        <f>Budget!B24</f>
        <v>2000</v>
      </c>
      <c r="G2" s="27"/>
      <c r="Q2" s="23"/>
    </row>
    <row r="3" spans="1:17">
      <c r="A3" s="12" t="s">
        <v>3</v>
      </c>
      <c r="B3" s="14">
        <f>Budget!I16</f>
        <v>362</v>
      </c>
      <c r="C3" s="3"/>
      <c r="D3" s="6" t="s">
        <v>16</v>
      </c>
      <c r="E3" s="4">
        <f>Budget!C22</f>
        <v>2105</v>
      </c>
      <c r="F3" s="19">
        <f>Budget!C24</f>
        <v>2100</v>
      </c>
      <c r="G3" s="27"/>
      <c r="Q3" s="23"/>
    </row>
    <row r="4" spans="1:17">
      <c r="A4" s="12" t="s">
        <v>4</v>
      </c>
      <c r="B4" s="14">
        <f>Budget!I17</f>
        <v>1880</v>
      </c>
      <c r="C4" s="3"/>
      <c r="D4" s="6" t="s">
        <v>17</v>
      </c>
      <c r="E4" s="4">
        <f>Budget!D22</f>
        <v>2100</v>
      </c>
      <c r="F4" s="19">
        <f>Budget!D24</f>
        <v>2700</v>
      </c>
      <c r="G4" s="27"/>
      <c r="Q4" s="23"/>
    </row>
    <row r="5" spans="1:17">
      <c r="A5" s="12" t="s">
        <v>5</v>
      </c>
      <c r="B5" s="14">
        <f>Budget!I18</f>
        <v>908</v>
      </c>
      <c r="C5" s="3"/>
      <c r="D5" s="6" t="s">
        <v>18</v>
      </c>
      <c r="E5" s="4">
        <f>Budget!E22</f>
        <v>2075</v>
      </c>
      <c r="F5" s="19">
        <f>Budget!E24</f>
        <v>1900</v>
      </c>
      <c r="G5" s="27"/>
      <c r="Q5" s="23"/>
    </row>
    <row r="6" spans="1:17">
      <c r="A6" s="12" t="s">
        <v>6</v>
      </c>
      <c r="B6" s="14">
        <f>Budget!I19</f>
        <v>1200</v>
      </c>
      <c r="C6" s="3"/>
      <c r="D6" s="6" t="s">
        <v>19</v>
      </c>
      <c r="E6" s="4">
        <f>Budget!F22</f>
        <v>2142</v>
      </c>
      <c r="F6" s="19">
        <f>Budget!F24</f>
        <v>2500</v>
      </c>
      <c r="G6" s="27"/>
      <c r="Q6" s="23"/>
    </row>
    <row r="7" spans="1:17" ht="15.75" thickBot="1">
      <c r="A7" s="12" t="s">
        <v>7</v>
      </c>
      <c r="B7" s="14">
        <f>Budget!I20</f>
        <v>595</v>
      </c>
      <c r="C7" s="3"/>
      <c r="D7" s="7" t="s">
        <v>20</v>
      </c>
      <c r="E7" s="5">
        <f>Budget!G22</f>
        <v>2093</v>
      </c>
      <c r="F7" s="20">
        <f>Budget!G24</f>
        <v>2900</v>
      </c>
      <c r="G7" s="27"/>
      <c r="Q7" s="23"/>
    </row>
    <row r="8" spans="1:17" ht="15.75" thickBot="1">
      <c r="A8" s="13" t="s">
        <v>8</v>
      </c>
      <c r="B8" s="15">
        <f>Budget!I21</f>
        <v>445</v>
      </c>
      <c r="C8" s="3"/>
      <c r="D8" s="3"/>
      <c r="E8" s="3"/>
      <c r="F8" s="3"/>
      <c r="G8" s="27"/>
      <c r="Q8" s="23"/>
    </row>
    <row r="9" spans="1:17">
      <c r="G9" s="27"/>
      <c r="Q9" s="23"/>
    </row>
    <row r="10" spans="1:17">
      <c r="A10" s="1"/>
      <c r="G10" s="27"/>
      <c r="Q10" s="23"/>
    </row>
    <row r="11" spans="1:17">
      <c r="A11" s="16" t="s">
        <v>21</v>
      </c>
      <c r="B11" s="17" t="s">
        <v>22</v>
      </c>
      <c r="G11" s="27"/>
      <c r="Q11" s="23"/>
    </row>
    <row r="12" spans="1:17">
      <c r="G12" s="27"/>
      <c r="Q12" s="23"/>
    </row>
    <row r="13" spans="1:17">
      <c r="G13" s="27"/>
      <c r="Q13" s="23"/>
    </row>
    <row r="14" spans="1:17">
      <c r="G14" s="27"/>
      <c r="Q14" s="23"/>
    </row>
    <row r="15" spans="1:17">
      <c r="G15" s="27"/>
      <c r="Q15" s="23"/>
    </row>
    <row r="16" spans="1:17">
      <c r="G16" s="27"/>
      <c r="Q16" s="23"/>
    </row>
    <row r="17" spans="7:17" ht="15.75" thickBot="1">
      <c r="G17" s="28"/>
      <c r="H17" s="24"/>
      <c r="I17" s="24"/>
      <c r="J17" s="24"/>
      <c r="K17" s="24"/>
      <c r="L17" s="24"/>
      <c r="M17" s="24"/>
      <c r="N17" s="24"/>
      <c r="O17" s="24"/>
      <c r="P17" s="24"/>
      <c r="Q17" s="25"/>
    </row>
  </sheetData>
  <conditionalFormatting sqref="B2:B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{1930D8E8-82BE-4210-B822-534806271262}</x14:id>
        </ext>
      </extLst>
    </cfRule>
  </conditionalFormatting>
  <conditionalFormatting sqref="E2:E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{710CCA74-1D6B-42FD-975A-84BCF5581611}</x14:id>
        </ext>
      </extLst>
    </cfRule>
  </conditionalFormatting>
  <conditionalFormatting sqref="F2:F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{8DA176C2-8CAD-4F1C-AC92-38AB3751DAF5}</x14:id>
        </ext>
      </extLst>
    </cfRule>
  </conditionalFormatting>
  <pageMargins left="0.75" right="0.75" top="1" bottom="1" header="0.5" footer="0.5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30D8E8-82BE-4210-B822-5348062712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B2:B8</xm:sqref>
        </x14:conditionalFormatting>
        <x14:conditionalFormatting xmlns:xm="http://schemas.microsoft.com/office/excel/2006/main">
          <x14:cfRule type="dataBar" id="{710CCA74-1D6B-42FD-975A-84BCF55816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E2:E7</xm:sqref>
        </x14:conditionalFormatting>
        <x14:conditionalFormatting xmlns:xm="http://schemas.microsoft.com/office/excel/2006/main">
          <x14:cfRule type="dataBar" id="{8DA176C2-8CAD-4F1C-AC92-38AB3751DA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F2:F7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WDPF PC-07</cp:lastModifiedBy>
  <dcterms:created xsi:type="dcterms:W3CDTF">2025-12-12T04:21:16Z</dcterms:created>
  <dcterms:modified xsi:type="dcterms:W3CDTF">2026-01-20T06:43:10Z</dcterms:modified>
</cp:coreProperties>
</file>