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DPF PC-07\Desktop\isdb\cf\ms excel\ass\"/>
    </mc:Choice>
  </mc:AlternateContent>
  <xr:revisionPtr revIDLastSave="0" documentId="13_ncr:1_{A1B54E1C-28FB-4183-8E8D-EC2FBA2324E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5" i="2"/>
  <c r="G4" i="2"/>
  <c r="G3" i="2"/>
  <c r="F8" i="2"/>
  <c r="F7" i="2"/>
  <c r="F5" i="2"/>
  <c r="F3" i="2"/>
  <c r="C17" i="1"/>
  <c r="C3" i="2"/>
  <c r="J10" i="1"/>
  <c r="C4" i="2"/>
  <c r="C6" i="2"/>
  <c r="C8" i="2"/>
  <c r="F17" i="1"/>
  <c r="F6" i="2" s="1"/>
  <c r="E17" i="1"/>
  <c r="D17" i="1"/>
  <c r="F4" i="2" s="1"/>
  <c r="J11" i="1"/>
  <c r="J12" i="1"/>
  <c r="C5" i="2" s="1"/>
  <c r="J13" i="1"/>
  <c r="J14" i="1"/>
  <c r="C7" i="2" s="1"/>
  <c r="J15" i="1"/>
  <c r="J16" i="1"/>
  <c r="C9" i="2" s="1"/>
  <c r="I11" i="1"/>
  <c r="I12" i="1"/>
  <c r="I13" i="1"/>
  <c r="I14" i="1"/>
  <c r="I15" i="1"/>
  <c r="I16" i="1"/>
  <c r="I10" i="1"/>
</calcChain>
</file>

<file path=xl/sharedStrings.xml><?xml version="1.0" encoding="utf-8"?>
<sst xmlns="http://schemas.openxmlformats.org/spreadsheetml/2006/main" count="30" uniqueCount="22">
  <si>
    <t>House Payment</t>
  </si>
  <si>
    <t>Gasoline</t>
  </si>
  <si>
    <t>Groceries</t>
  </si>
  <si>
    <t>Utilities</t>
  </si>
  <si>
    <t>Insurance</t>
  </si>
  <si>
    <t>Entertainment</t>
  </si>
  <si>
    <t>Other</t>
  </si>
  <si>
    <t>Monthly Expenses Total</t>
  </si>
  <si>
    <t>Income</t>
  </si>
  <si>
    <t>Category</t>
  </si>
  <si>
    <t>Total (Jan-Jun)</t>
  </si>
  <si>
    <t>Month</t>
  </si>
  <si>
    <t>Expenses (Monthly Total)</t>
  </si>
  <si>
    <t>January</t>
  </si>
  <si>
    <t>February</t>
  </si>
  <si>
    <t>March</t>
  </si>
  <si>
    <t>April</t>
  </si>
  <si>
    <t>May</t>
  </si>
  <si>
    <t>June</t>
  </si>
  <si>
    <t>january-2022- june 2022</t>
  </si>
  <si>
    <t>Monthly budget</t>
  </si>
  <si>
    <t>Chart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</si>
</sst>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8" fontId="0" fillId="0" borderId="0" xfId="0" applyNumberFormat="1"/>
    <xf numFmtId="0" fontId="0" fillId="0" borderId="1" xfId="0" applyBorder="1"/>
    <xf numFmtId="8" fontId="0" fillId="0" borderId="1" xfId="0" applyNumberFormat="1" applyBorder="1"/>
    <xf numFmtId="0" fontId="0" fillId="0" borderId="2" xfId="0" applyBorder="1"/>
    <xf numFmtId="8" fontId="0" fillId="0" borderId="4" xfId="0" applyNumberFormat="1" applyBorder="1"/>
    <xf numFmtId="0" fontId="1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1" xfId="0" applyFon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Sheet2!$C$2</c:f>
              <c:strCache>
                <c:ptCount val="1"/>
                <c:pt idx="0">
                  <c:v>Total (Jan-Jun)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Sheet2!$B$3:$B$9</c:f>
              <c:strCache>
                <c:ptCount val="7"/>
                <c:pt idx="0">
                  <c:v>House Payment</c:v>
                </c:pt>
                <c:pt idx="1">
                  <c:v>Gasoline</c:v>
                </c:pt>
                <c:pt idx="2">
                  <c:v>Groceries</c:v>
                </c:pt>
                <c:pt idx="3">
                  <c:v>Utilities</c:v>
                </c:pt>
                <c:pt idx="4">
                  <c:v>Insurance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Sheet2!$C$3:$C$9</c:f>
              <c:numCache>
                <c:formatCode>"$"#,##0.00_);[Red]\("$"#,##0.00\)</c:formatCode>
                <c:ptCount val="7"/>
                <c:pt idx="0">
                  <c:v>7200</c:v>
                </c:pt>
                <c:pt idx="1">
                  <c:v>362</c:v>
                </c:pt>
                <c:pt idx="2">
                  <c:v>1880</c:v>
                </c:pt>
                <c:pt idx="3">
                  <c:v>908</c:v>
                </c:pt>
                <c:pt idx="4">
                  <c:v>1200</c:v>
                </c:pt>
                <c:pt idx="5">
                  <c:v>595</c:v>
                </c:pt>
                <c:pt idx="6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6-4CC2-BE04-4C07466BB88D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Sheet2!$B$3:$B$9</c:f>
              <c:strCache>
                <c:ptCount val="7"/>
                <c:pt idx="0">
                  <c:v>House Payment</c:v>
                </c:pt>
                <c:pt idx="1">
                  <c:v>Gasoline</c:v>
                </c:pt>
                <c:pt idx="2">
                  <c:v>Groceries</c:v>
                </c:pt>
                <c:pt idx="3">
                  <c:v>Utilities</c:v>
                </c:pt>
                <c:pt idx="4">
                  <c:v>Insurance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Sheet2!$D$3:$D$9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C816-4CC2-BE04-4C07466BB88D}"/>
            </c:ext>
          </c:extLst>
        </c:ser>
        <c:ser>
          <c:idx val="2"/>
          <c:order val="2"/>
          <c:tx>
            <c:strRef>
              <c:f>Sheet2!$E$2</c:f>
              <c:strCache>
                <c:ptCount val="1"/>
                <c:pt idx="0">
                  <c:v>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Sheet2!$B$3:$B$9</c:f>
              <c:strCache>
                <c:ptCount val="7"/>
                <c:pt idx="0">
                  <c:v>House Payment</c:v>
                </c:pt>
                <c:pt idx="1">
                  <c:v>Gasoline</c:v>
                </c:pt>
                <c:pt idx="2">
                  <c:v>Groceries</c:v>
                </c:pt>
                <c:pt idx="3">
                  <c:v>Utilities</c:v>
                </c:pt>
                <c:pt idx="4">
                  <c:v>Insurance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Sheet2!$E$3:$E$9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16-4CC2-BE04-4C07466BB88D}"/>
            </c:ext>
          </c:extLst>
        </c:ser>
        <c:ser>
          <c:idx val="3"/>
          <c:order val="3"/>
          <c:tx>
            <c:strRef>
              <c:f>Sheet2!$F$2</c:f>
              <c:strCache>
                <c:ptCount val="1"/>
                <c:pt idx="0">
                  <c:v>Expenses (Monthly Total)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Sheet2!$B$3:$B$9</c:f>
              <c:strCache>
                <c:ptCount val="7"/>
                <c:pt idx="0">
                  <c:v>House Payment</c:v>
                </c:pt>
                <c:pt idx="1">
                  <c:v>Gasoline</c:v>
                </c:pt>
                <c:pt idx="2">
                  <c:v>Groceries</c:v>
                </c:pt>
                <c:pt idx="3">
                  <c:v>Utilities</c:v>
                </c:pt>
                <c:pt idx="4">
                  <c:v>Insurance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Sheet2!$F$3:$F$9</c:f>
              <c:numCache>
                <c:formatCode>"$"#,##0.00_);[Red]\("$"#,##0.00\)</c:formatCode>
                <c:ptCount val="7"/>
                <c:pt idx="0">
                  <c:v>2075</c:v>
                </c:pt>
                <c:pt idx="1">
                  <c:v>2105</c:v>
                </c:pt>
                <c:pt idx="2">
                  <c:v>2100</c:v>
                </c:pt>
                <c:pt idx="3">
                  <c:v>2075</c:v>
                </c:pt>
                <c:pt idx="4">
                  <c:v>2142</c:v>
                </c:pt>
                <c:pt idx="5">
                  <c:v>2093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16-4CC2-BE04-4C07466BB88D}"/>
            </c:ext>
          </c:extLst>
        </c:ser>
        <c:ser>
          <c:idx val="4"/>
          <c:order val="4"/>
          <c:tx>
            <c:strRef>
              <c:f>Sheet2!$G$2</c:f>
              <c:strCache>
                <c:ptCount val="1"/>
                <c:pt idx="0">
                  <c:v>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Sheet2!$B$3:$B$9</c:f>
              <c:strCache>
                <c:ptCount val="7"/>
                <c:pt idx="0">
                  <c:v>House Payment</c:v>
                </c:pt>
                <c:pt idx="1">
                  <c:v>Gasoline</c:v>
                </c:pt>
                <c:pt idx="2">
                  <c:v>Groceries</c:v>
                </c:pt>
                <c:pt idx="3">
                  <c:v>Utilities</c:v>
                </c:pt>
                <c:pt idx="4">
                  <c:v>Insurance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Sheet2!$G$3:$G$9</c:f>
              <c:numCache>
                <c:formatCode>"$"#,##0.00_);[Red]\("$"#,##0.00\)</c:formatCode>
                <c:ptCount val="7"/>
                <c:pt idx="0">
                  <c:v>2000</c:v>
                </c:pt>
                <c:pt idx="1">
                  <c:v>2100</c:v>
                </c:pt>
                <c:pt idx="2">
                  <c:v>2700</c:v>
                </c:pt>
                <c:pt idx="3">
                  <c:v>1900</c:v>
                </c:pt>
                <c:pt idx="4">
                  <c:v>2500</c:v>
                </c:pt>
                <c:pt idx="5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16-4CC2-BE04-4C07466BB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66674</xdr:colOff>
      <xdr:row>0</xdr:row>
      <xdr:rowOff>171450</xdr:rowOff>
    </xdr:from>
    <xdr:to>
      <xdr:col>13</xdr:col>
      <xdr:colOff>114299</xdr:colOff>
      <xdr:row>12</xdr:row>
      <xdr:rowOff>33336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955F5B-B027-BE33-2B21-BBF599116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J19"/>
  <sheetViews>
    <sheetView topLeftCell="A4" workbookViewId="0">
      <selection activeCell="N14" sqref="N14"/>
    </sheetView>
  </sheetViews>
  <sheetFormatPr defaultRowHeight="15" x14ac:dyDescent="0.25"/>
  <cols>
    <col min="2" max="2" width="19.42578125" customWidth="1"/>
    <col min="3" max="10" width="9.85546875" bestFit="1" customWidth="1"/>
  </cols>
  <sheetData>
    <row r="8" spans="2:10" ht="18.75" x14ac:dyDescent="0.3">
      <c r="B8" s="7" t="s">
        <v>20</v>
      </c>
      <c r="C8" s="7"/>
      <c r="D8" s="7"/>
      <c r="E8" s="7"/>
      <c r="F8" s="7"/>
      <c r="G8" s="7"/>
      <c r="H8" s="7"/>
      <c r="I8" s="7"/>
      <c r="J8" s="7"/>
    </row>
    <row r="9" spans="2:10" x14ac:dyDescent="0.25">
      <c r="B9" s="6" t="s">
        <v>19</v>
      </c>
      <c r="C9" s="6"/>
      <c r="D9" s="6"/>
      <c r="E9" s="6"/>
      <c r="F9" s="6"/>
      <c r="G9" s="6"/>
      <c r="H9" s="6"/>
      <c r="I9" s="6"/>
      <c r="J9" s="6"/>
    </row>
    <row r="10" spans="2:10" x14ac:dyDescent="0.25">
      <c r="B10" s="8" t="s">
        <v>0</v>
      </c>
      <c r="C10" s="5">
        <v>1200</v>
      </c>
      <c r="D10" s="5">
        <v>1200</v>
      </c>
      <c r="E10" s="5">
        <v>1200</v>
      </c>
      <c r="F10" s="5">
        <v>1200</v>
      </c>
      <c r="G10" s="5">
        <v>1200</v>
      </c>
      <c r="H10" s="5">
        <v>1200</v>
      </c>
      <c r="I10" s="5">
        <f>AVERAGE(C10:H10)</f>
        <v>1200</v>
      </c>
      <c r="J10" s="5">
        <f>SUM(C10:H10)</f>
        <v>7200</v>
      </c>
    </row>
    <row r="11" spans="2:10" x14ac:dyDescent="0.25">
      <c r="B11" s="9" t="s">
        <v>1</v>
      </c>
      <c r="C11" s="3">
        <v>50</v>
      </c>
      <c r="D11" s="3">
        <v>60</v>
      </c>
      <c r="E11" s="3">
        <v>55</v>
      </c>
      <c r="F11" s="3">
        <v>65</v>
      </c>
      <c r="G11" s="3">
        <v>62</v>
      </c>
      <c r="H11" s="3">
        <v>70</v>
      </c>
      <c r="I11" s="3">
        <f t="shared" ref="I11:I16" si="0">AVERAGE(C11:H11)</f>
        <v>60.333333333333336</v>
      </c>
      <c r="J11" s="3">
        <f t="shared" ref="J11:J16" si="1">SUM(C11:H11)</f>
        <v>362</v>
      </c>
    </row>
    <row r="12" spans="2:10" x14ac:dyDescent="0.25">
      <c r="B12" s="9" t="s">
        <v>2</v>
      </c>
      <c r="C12" s="3">
        <v>300</v>
      </c>
      <c r="D12" s="3">
        <v>320</v>
      </c>
      <c r="E12" s="3">
        <v>310</v>
      </c>
      <c r="F12" s="3">
        <v>305</v>
      </c>
      <c r="G12" s="3">
        <v>330</v>
      </c>
      <c r="H12" s="3">
        <v>315</v>
      </c>
      <c r="I12" s="3">
        <f t="shared" si="0"/>
        <v>313.33333333333331</v>
      </c>
      <c r="J12" s="3">
        <f t="shared" si="1"/>
        <v>1880</v>
      </c>
    </row>
    <row r="13" spans="2:10" x14ac:dyDescent="0.25">
      <c r="B13" s="9" t="s">
        <v>3</v>
      </c>
      <c r="C13" s="3">
        <v>150</v>
      </c>
      <c r="D13" s="3">
        <v>145</v>
      </c>
      <c r="E13" s="3">
        <v>160</v>
      </c>
      <c r="F13" s="3">
        <v>155</v>
      </c>
      <c r="G13" s="3">
        <v>150</v>
      </c>
      <c r="H13" s="3">
        <v>148</v>
      </c>
      <c r="I13" s="3">
        <f t="shared" si="0"/>
        <v>151.33333333333334</v>
      </c>
      <c r="J13" s="3">
        <f t="shared" si="1"/>
        <v>908</v>
      </c>
    </row>
    <row r="14" spans="2:10" x14ac:dyDescent="0.25">
      <c r="B14" s="9" t="s">
        <v>4</v>
      </c>
      <c r="C14" s="3">
        <v>200</v>
      </c>
      <c r="D14" s="3">
        <v>200</v>
      </c>
      <c r="E14" s="3">
        <v>200</v>
      </c>
      <c r="F14" s="3">
        <v>200</v>
      </c>
      <c r="G14" s="3">
        <v>200</v>
      </c>
      <c r="H14" s="3">
        <v>200</v>
      </c>
      <c r="I14" s="3">
        <f t="shared" si="0"/>
        <v>200</v>
      </c>
      <c r="J14" s="3">
        <f t="shared" si="1"/>
        <v>1200</v>
      </c>
    </row>
    <row r="15" spans="2:10" x14ac:dyDescent="0.25">
      <c r="B15" s="9" t="s">
        <v>5</v>
      </c>
      <c r="C15" s="3">
        <v>100</v>
      </c>
      <c r="D15" s="3">
        <v>120</v>
      </c>
      <c r="E15" s="3">
        <v>90</v>
      </c>
      <c r="F15" s="3">
        <v>80</v>
      </c>
      <c r="G15" s="3">
        <v>110</v>
      </c>
      <c r="H15" s="3">
        <v>95</v>
      </c>
      <c r="I15" s="3">
        <f t="shared" si="0"/>
        <v>99.166666666666671</v>
      </c>
      <c r="J15" s="3">
        <f t="shared" si="1"/>
        <v>595</v>
      </c>
    </row>
    <row r="16" spans="2:10" x14ac:dyDescent="0.25">
      <c r="B16" s="9" t="s">
        <v>6</v>
      </c>
      <c r="C16" s="3">
        <v>75</v>
      </c>
      <c r="D16" s="3">
        <v>60</v>
      </c>
      <c r="E16" s="3">
        <v>85</v>
      </c>
      <c r="F16" s="3">
        <v>70</v>
      </c>
      <c r="G16" s="3">
        <v>90</v>
      </c>
      <c r="H16" s="3">
        <v>65</v>
      </c>
      <c r="I16" s="3">
        <f t="shared" si="0"/>
        <v>74.166666666666671</v>
      </c>
      <c r="J16" s="3">
        <f t="shared" si="1"/>
        <v>445</v>
      </c>
    </row>
    <row r="17" spans="2:10" x14ac:dyDescent="0.25">
      <c r="B17" s="2" t="s">
        <v>7</v>
      </c>
      <c r="C17" s="3">
        <f>SUM(C10:C16)</f>
        <v>2075</v>
      </c>
      <c r="D17" s="3">
        <f>SUM(D10:D16)</f>
        <v>2105</v>
      </c>
      <c r="E17" s="3">
        <f>SUM(E10:E16)</f>
        <v>2100</v>
      </c>
      <c r="F17" s="3">
        <f>SUM(F10:F16)</f>
        <v>2075</v>
      </c>
      <c r="G17" s="3">
        <v>2142</v>
      </c>
      <c r="H17" s="3">
        <v>2093</v>
      </c>
      <c r="I17" s="2"/>
      <c r="J17" s="2"/>
    </row>
    <row r="18" spans="2:10" x14ac:dyDescent="0.25">
      <c r="B18" s="2"/>
      <c r="C18" s="2"/>
      <c r="D18" s="2"/>
      <c r="E18" s="2"/>
      <c r="F18" s="2"/>
      <c r="G18" s="2"/>
      <c r="H18" s="2"/>
      <c r="I18" s="2"/>
      <c r="J18" s="2"/>
    </row>
    <row r="19" spans="2:10" x14ac:dyDescent="0.25">
      <c r="B19" s="4" t="s">
        <v>8</v>
      </c>
      <c r="C19" s="3">
        <v>2000</v>
      </c>
      <c r="D19" s="3">
        <v>2100</v>
      </c>
      <c r="E19" s="3">
        <v>2700</v>
      </c>
      <c r="F19" s="3">
        <v>1900</v>
      </c>
      <c r="G19" s="3">
        <v>2500</v>
      </c>
      <c r="H19" s="3">
        <v>2900</v>
      </c>
      <c r="I19" s="2"/>
      <c r="J19" s="2"/>
    </row>
  </sheetData>
  <mergeCells count="2">
    <mergeCell ref="B9:J9"/>
    <mergeCell ref="B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EF97-A47E-412A-A72E-EB182837B002}">
  <dimension ref="B2:G11"/>
  <sheetViews>
    <sheetView tabSelected="1" topLeftCell="F1" workbookViewId="0">
      <selection activeCell="G14" sqref="G14"/>
    </sheetView>
  </sheetViews>
  <sheetFormatPr defaultRowHeight="15" x14ac:dyDescent="0.25"/>
  <cols>
    <col min="2" max="2" width="15" bestFit="1" customWidth="1"/>
    <col min="3" max="3" width="14" bestFit="1" customWidth="1"/>
    <col min="5" max="5" width="8.85546875" bestFit="1" customWidth="1"/>
    <col min="6" max="6" width="23.85546875" bestFit="1" customWidth="1"/>
    <col min="7" max="7" width="9.85546875" bestFit="1" customWidth="1"/>
  </cols>
  <sheetData>
    <row r="2" spans="2:7" x14ac:dyDescent="0.25">
      <c r="B2" t="s">
        <v>9</v>
      </c>
      <c r="C2" t="s">
        <v>10</v>
      </c>
      <c r="E2" t="s">
        <v>11</v>
      </c>
      <c r="F2" t="s">
        <v>12</v>
      </c>
      <c r="G2" t="s">
        <v>8</v>
      </c>
    </row>
    <row r="3" spans="2:7" x14ac:dyDescent="0.25">
      <c r="B3" t="s">
        <v>0</v>
      </c>
      <c r="C3" s="1">
        <f>Sheet1!J10</f>
        <v>7200</v>
      </c>
      <c r="E3" t="s">
        <v>13</v>
      </c>
      <c r="F3" s="1">
        <f>Sheet1!C17</f>
        <v>2075</v>
      </c>
      <c r="G3" s="1">
        <f>Sheet1!C19</f>
        <v>2000</v>
      </c>
    </row>
    <row r="4" spans="2:7" x14ac:dyDescent="0.25">
      <c r="B4" t="s">
        <v>1</v>
      </c>
      <c r="C4" s="1">
        <f>Sheet1!J11</f>
        <v>362</v>
      </c>
      <c r="E4" t="s">
        <v>14</v>
      </c>
      <c r="F4" s="1">
        <f>Sheet1!D17</f>
        <v>2105</v>
      </c>
      <c r="G4" s="1">
        <f>Sheet1!D19</f>
        <v>2100</v>
      </c>
    </row>
    <row r="5" spans="2:7" x14ac:dyDescent="0.25">
      <c r="B5" t="s">
        <v>2</v>
      </c>
      <c r="C5" s="1">
        <f>Sheet1!J12</f>
        <v>1880</v>
      </c>
      <c r="E5" t="s">
        <v>15</v>
      </c>
      <c r="F5" s="1">
        <f>Sheet1!E17</f>
        <v>2100</v>
      </c>
      <c r="G5" s="1">
        <f>Sheet1!E19</f>
        <v>2700</v>
      </c>
    </row>
    <row r="6" spans="2:7" x14ac:dyDescent="0.25">
      <c r="B6" t="s">
        <v>3</v>
      </c>
      <c r="C6" s="1">
        <f>Sheet1!J13</f>
        <v>908</v>
      </c>
      <c r="E6" t="s">
        <v>16</v>
      </c>
      <c r="F6" s="1">
        <f>Sheet1!F17</f>
        <v>2075</v>
      </c>
      <c r="G6" s="1">
        <f>Sheet1!F19</f>
        <v>1900</v>
      </c>
    </row>
    <row r="7" spans="2:7" x14ac:dyDescent="0.25">
      <c r="B7" t="s">
        <v>4</v>
      </c>
      <c r="C7" s="1">
        <f>Sheet1!J14</f>
        <v>1200</v>
      </c>
      <c r="E7" t="s">
        <v>17</v>
      </c>
      <c r="F7" s="1">
        <f>Sheet1!G17</f>
        <v>2142</v>
      </c>
      <c r="G7" s="1">
        <f>Sheet1!G19</f>
        <v>2500</v>
      </c>
    </row>
    <row r="8" spans="2:7" x14ac:dyDescent="0.25">
      <c r="B8" t="s">
        <v>5</v>
      </c>
      <c r="C8" s="1">
        <f>Sheet1!J15</f>
        <v>595</v>
      </c>
      <c r="E8" t="s">
        <v>18</v>
      </c>
      <c r="F8" s="1">
        <f>Sheet1!H17</f>
        <v>2093</v>
      </c>
      <c r="G8" s="1">
        <f>Sheet1!H19</f>
        <v>2900</v>
      </c>
    </row>
    <row r="9" spans="2:7" x14ac:dyDescent="0.25">
      <c r="B9" t="s">
        <v>6</v>
      </c>
      <c r="C9" s="1">
        <f>Sheet1!J16</f>
        <v>445</v>
      </c>
    </row>
    <row r="11" spans="2:7" x14ac:dyDescent="0.25">
      <c r="B11" t="s">
        <v>21</v>
      </c>
      <c r="C11" s="10">
        <v>46003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2026-01-20T06:03:43Z</dcterms:modified>
</cp:coreProperties>
</file>